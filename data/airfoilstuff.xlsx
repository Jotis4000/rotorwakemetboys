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sa\Desktop\SCHOOL\TU DELFT\MASTER\ROTOR WAKE\rotorwakemetboys\data\"/>
    </mc:Choice>
  </mc:AlternateContent>
  <xr:revisionPtr revIDLastSave="0" documentId="13_ncr:1_{4E8EE67D-D48E-495C-B7D3-EEDD0A3F7A82}" xr6:coauthVersionLast="47" xr6:coauthVersionMax="47" xr10:uidLastSave="{00000000-0000-0000-0000-000000000000}"/>
  <bookViews>
    <workbookView xWindow="5145" yWindow="-16320" windowWidth="29040" windowHeight="16440" xr2:uid="{A39D6C71-65D3-401F-9C38-F41825BADA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1" l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11" i="1"/>
  <c r="C12" i="1" a="1"/>
  <c r="C12" i="1" s="1"/>
  <c r="B12" i="1" a="1"/>
  <c r="B12" i="1" s="1"/>
  <c r="A12" i="1" a="1"/>
  <c r="A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<sst xmlns="http://schemas.openxmlformats.org/spreadsheetml/2006/main" count="11" uniqueCount="10">
  <si>
    <t>r/R</t>
  </si>
  <si>
    <t>c/R</t>
  </si>
  <si>
    <t>beta</t>
  </si>
  <si>
    <t>AoA</t>
  </si>
  <si>
    <t>cl</t>
  </si>
  <si>
    <t>cd</t>
  </si>
  <si>
    <t>cm</t>
  </si>
  <si>
    <t>---------</t>
  </si>
  <si>
    <t>--------</t>
  </si>
  <si>
    <t>clcd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</si>
</sst>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Sheet1!$B$11</c:f>
              <c:strCache>
                <c:ptCount val="1"/>
                <c:pt idx="0">
                  <c:v>c/R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Sheet1!$A$12:$A$31</c:f>
              <c:numCache>
                <c:formatCode>General</c:formatCode>
                <c:ptCount val="20"/>
                <c:pt idx="0">
                  <c:v>0.25</c:v>
                </c:pt>
                <c:pt idx="1">
                  <c:v>0.28947368000000001</c:v>
                </c:pt>
                <c:pt idx="2">
                  <c:v>0.32894737000000002</c:v>
                </c:pt>
                <c:pt idx="3">
                  <c:v>0.36842105000000003</c:v>
                </c:pt>
                <c:pt idx="4">
                  <c:v>0.40789473999999998</c:v>
                </c:pt>
                <c:pt idx="5">
                  <c:v>0.44736841999999999</c:v>
                </c:pt>
                <c:pt idx="6">
                  <c:v>0.48684210999999999</c:v>
                </c:pt>
                <c:pt idx="7">
                  <c:v>0.52631578999999995</c:v>
                </c:pt>
                <c:pt idx="8">
                  <c:v>0.56578947000000002</c:v>
                </c:pt>
                <c:pt idx="9">
                  <c:v>0.60526316000000002</c:v>
                </c:pt>
                <c:pt idx="10">
                  <c:v>0.64473683999999998</c:v>
                </c:pt>
                <c:pt idx="11">
                  <c:v>0.68421052999999998</c:v>
                </c:pt>
                <c:pt idx="12">
                  <c:v>0.72368421000000005</c:v>
                </c:pt>
                <c:pt idx="13">
                  <c:v>0.76315789000000001</c:v>
                </c:pt>
                <c:pt idx="14">
                  <c:v>0.80263158000000001</c:v>
                </c:pt>
                <c:pt idx="15">
                  <c:v>0.84210525999999997</c:v>
                </c:pt>
                <c:pt idx="16">
                  <c:v>0.88157894999999997</c:v>
                </c:pt>
                <c:pt idx="17">
                  <c:v>0.92105263000000004</c:v>
                </c:pt>
                <c:pt idx="18">
                  <c:v>0.96052632000000004</c:v>
                </c:pt>
                <c:pt idx="19">
                  <c:v>1</c:v>
                </c:pt>
              </c:numCache>
            </c:numRef>
          </c:xVal>
          <c:yVal>
            <c:numRef>
              <c:f>Sheet1!$B$12:$B$31</c:f>
              <c:numCache>
                <c:formatCode>General</c:formatCode>
                <c:ptCount val="20"/>
                <c:pt idx="0">
                  <c:v>0.16500000000000001</c:v>
                </c:pt>
                <c:pt idx="1">
                  <c:v>0.16263158</c:v>
                </c:pt>
                <c:pt idx="2">
                  <c:v>0.16026315999999999</c:v>
                </c:pt>
                <c:pt idx="3">
                  <c:v>0.15789474000000001</c:v>
                </c:pt>
                <c:pt idx="4">
                  <c:v>0.15552632</c:v>
                </c:pt>
                <c:pt idx="5">
                  <c:v>0.15315788999999999</c:v>
                </c:pt>
                <c:pt idx="6">
                  <c:v>0.15078947000000001</c:v>
                </c:pt>
                <c:pt idx="7">
                  <c:v>0.14842105</c:v>
                </c:pt>
                <c:pt idx="8">
                  <c:v>0.14605262999999999</c:v>
                </c:pt>
                <c:pt idx="9">
                  <c:v>0.14368421000000001</c:v>
                </c:pt>
                <c:pt idx="10">
                  <c:v>0.14131579</c:v>
                </c:pt>
                <c:pt idx="11">
                  <c:v>0.13894736999999999</c:v>
                </c:pt>
                <c:pt idx="12">
                  <c:v>0.13657895</c:v>
                </c:pt>
                <c:pt idx="13">
                  <c:v>0.13421052999999999</c:v>
                </c:pt>
                <c:pt idx="14">
                  <c:v>0.13184211000000001</c:v>
                </c:pt>
                <c:pt idx="15">
                  <c:v>0.12947368000000001</c:v>
                </c:pt>
                <c:pt idx="16">
                  <c:v>0.12710526</c:v>
                </c:pt>
                <c:pt idx="17">
                  <c:v>0.12473684</c:v>
                </c:pt>
                <c:pt idx="18">
                  <c:v>0.12236842000000001</c:v>
                </c:pt>
                <c:pt idx="19">
                  <c:v>0.12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20-4745-B75A-90B61E076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727231"/>
        <c:axId val="324737311"/>
      </c:scatterChart>
      <c:valAx>
        <c:axId val="32472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24737311"/>
        <c:crosses val="autoZero"/>
        <c:crossBetween val="midCat"/>
      </c:valAx>
      <c:valAx>
        <c:axId val="3247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2472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Sheet1!$W$9</c:f>
              <c:strCache>
                <c:ptCount val="1"/>
                <c:pt idx="0">
                  <c:v>clcd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Sheet1!$S$10:$S$81</c:f>
              <c:strCache>
                <c:ptCount val="72"/>
                <c:pt idx="0">
                  <c:v>--------</c:v>
                </c:pt>
                <c:pt idx="1">
                  <c:v>-10</c:v>
                </c:pt>
                <c:pt idx="2">
                  <c:v>-9.5</c:v>
                </c:pt>
                <c:pt idx="3">
                  <c:v>-9</c:v>
                </c:pt>
                <c:pt idx="4">
                  <c:v>-8.5</c:v>
                </c:pt>
                <c:pt idx="5">
                  <c:v>-8</c:v>
                </c:pt>
                <c:pt idx="6">
                  <c:v>-7.5</c:v>
                </c:pt>
                <c:pt idx="7">
                  <c:v>-7</c:v>
                </c:pt>
                <c:pt idx="8">
                  <c:v>-6.5</c:v>
                </c:pt>
                <c:pt idx="9">
                  <c:v>-6</c:v>
                </c:pt>
                <c:pt idx="10">
                  <c:v>-5.5</c:v>
                </c:pt>
                <c:pt idx="11">
                  <c:v>-5</c:v>
                </c:pt>
                <c:pt idx="12">
                  <c:v>-4.5</c:v>
                </c:pt>
                <c:pt idx="13">
                  <c:v>-4</c:v>
                </c:pt>
                <c:pt idx="14">
                  <c:v>-3.5</c:v>
                </c:pt>
                <c:pt idx="15">
                  <c:v>-3</c:v>
                </c:pt>
                <c:pt idx="16">
                  <c:v>-2.5</c:v>
                </c:pt>
                <c:pt idx="17">
                  <c:v>-2</c:v>
                </c:pt>
                <c:pt idx="18">
                  <c:v>-1.5</c:v>
                </c:pt>
                <c:pt idx="19">
                  <c:v>-1</c:v>
                </c:pt>
                <c:pt idx="20">
                  <c:v>-0.5</c:v>
                </c:pt>
                <c:pt idx="21">
                  <c:v>0</c:v>
                </c:pt>
                <c:pt idx="22">
                  <c:v>0.5</c:v>
                </c:pt>
                <c:pt idx="23">
                  <c:v>1</c:v>
                </c:pt>
                <c:pt idx="24">
                  <c:v>1.5</c:v>
                </c:pt>
                <c:pt idx="25">
                  <c:v>2</c:v>
                </c:pt>
                <c:pt idx="26">
                  <c:v>2.5</c:v>
                </c:pt>
                <c:pt idx="27">
                  <c:v>3</c:v>
                </c:pt>
                <c:pt idx="28">
                  <c:v>3.5</c:v>
                </c:pt>
                <c:pt idx="29">
                  <c:v>4</c:v>
                </c:pt>
                <c:pt idx="30">
                  <c:v>4.5</c:v>
                </c:pt>
                <c:pt idx="31">
                  <c:v>5</c:v>
                </c:pt>
                <c:pt idx="32">
                  <c:v>5.5</c:v>
                </c:pt>
                <c:pt idx="33">
                  <c:v>6</c:v>
                </c:pt>
                <c:pt idx="34">
                  <c:v>6.5</c:v>
                </c:pt>
                <c:pt idx="35">
                  <c:v>7</c:v>
                </c:pt>
                <c:pt idx="36">
                  <c:v>7.5</c:v>
                </c:pt>
                <c:pt idx="37">
                  <c:v>8</c:v>
                </c:pt>
                <c:pt idx="38">
                  <c:v>8.5</c:v>
                </c:pt>
                <c:pt idx="39">
                  <c:v>9</c:v>
                </c:pt>
                <c:pt idx="40">
                  <c:v>9.5</c:v>
                </c:pt>
                <c:pt idx="41">
                  <c:v>10</c:v>
                </c:pt>
                <c:pt idx="42">
                  <c:v>10.5</c:v>
                </c:pt>
                <c:pt idx="43">
                  <c:v>11</c:v>
                </c:pt>
                <c:pt idx="44">
                  <c:v>11.5</c:v>
                </c:pt>
                <c:pt idx="45">
                  <c:v>12</c:v>
                </c:pt>
                <c:pt idx="46">
                  <c:v>12.5</c:v>
                </c:pt>
                <c:pt idx="47">
                  <c:v>13</c:v>
                </c:pt>
                <c:pt idx="48">
                  <c:v>13.5</c:v>
                </c:pt>
                <c:pt idx="49">
                  <c:v>14</c:v>
                </c:pt>
                <c:pt idx="50">
                  <c:v>14.5</c:v>
                </c:pt>
                <c:pt idx="51">
                  <c:v>15</c:v>
                </c:pt>
                <c:pt idx="52">
                  <c:v>15.5</c:v>
                </c:pt>
                <c:pt idx="53">
                  <c:v>16</c:v>
                </c:pt>
                <c:pt idx="54">
                  <c:v>16.5</c:v>
                </c:pt>
                <c:pt idx="55">
                  <c:v>17</c:v>
                </c:pt>
                <c:pt idx="56">
                  <c:v>17.5</c:v>
                </c:pt>
                <c:pt idx="57">
                  <c:v>18</c:v>
                </c:pt>
                <c:pt idx="58">
                  <c:v>18.5</c:v>
                </c:pt>
                <c:pt idx="59">
                  <c:v>19</c:v>
                </c:pt>
                <c:pt idx="60">
                  <c:v>19.5</c:v>
                </c:pt>
                <c:pt idx="61">
                  <c:v>20</c:v>
                </c:pt>
                <c:pt idx="62">
                  <c:v>20.5</c:v>
                </c:pt>
                <c:pt idx="63">
                  <c:v>21</c:v>
                </c:pt>
                <c:pt idx="64">
                  <c:v>21.5</c:v>
                </c:pt>
                <c:pt idx="65">
                  <c:v>22</c:v>
                </c:pt>
                <c:pt idx="66">
                  <c:v>22.5</c:v>
                </c:pt>
                <c:pt idx="67">
                  <c:v>23</c:v>
                </c:pt>
                <c:pt idx="68">
                  <c:v>23.5</c:v>
                </c:pt>
                <c:pt idx="69">
                  <c:v>24</c:v>
                </c:pt>
                <c:pt idx="70">
                  <c:v>24.5</c:v>
                </c:pt>
                <c:pt idx="71">
                  <c:v>25</c:v>
                </c:pt>
              </c:strCache>
            </c:strRef>
          </c:xVal>
          <c:yVal>
            <c:numRef>
              <c:f>Sheet1!$W$10:$W$81</c:f>
              <c:numCache>
                <c:formatCode>General</c:formatCode>
                <c:ptCount val="72"/>
                <c:pt idx="1">
                  <c:v>-26.526838069463238</c:v>
                </c:pt>
                <c:pt idx="2">
                  <c:v>-28.797638217928071</c:v>
                </c:pt>
                <c:pt idx="3">
                  <c:v>-28.68452380952381</c:v>
                </c:pt>
                <c:pt idx="4">
                  <c:v>-27.52098127824403</c:v>
                </c:pt>
                <c:pt idx="5">
                  <c:v>-25.580912863070537</c:v>
                </c:pt>
                <c:pt idx="6">
                  <c:v>-22.961876832844574</c:v>
                </c:pt>
                <c:pt idx="7">
                  <c:v>-19.776061776061777</c:v>
                </c:pt>
                <c:pt idx="8">
                  <c:v>-16.037126715092814</c:v>
                </c:pt>
                <c:pt idx="9">
                  <c:v>-11.845637583892616</c:v>
                </c:pt>
                <c:pt idx="10">
                  <c:v>-7.2656249999999991</c:v>
                </c:pt>
                <c:pt idx="11">
                  <c:v>-2.3235031277926717</c:v>
                </c:pt>
                <c:pt idx="12">
                  <c:v>2.8911253430924062</c:v>
                </c:pt>
                <c:pt idx="13">
                  <c:v>8.3380018674136327</c:v>
                </c:pt>
                <c:pt idx="14">
                  <c:v>13.937381404174573</c:v>
                </c:pt>
                <c:pt idx="15">
                  <c:v>19.644572526416905</c:v>
                </c:pt>
                <c:pt idx="16">
                  <c:v>25.397286821705428</c:v>
                </c:pt>
                <c:pt idx="17">
                  <c:v>31.110029211295036</c:v>
                </c:pt>
                <c:pt idx="18">
                  <c:v>36.770731707317076</c:v>
                </c:pt>
                <c:pt idx="19">
                  <c:v>42.268743914313532</c:v>
                </c:pt>
                <c:pt idx="20">
                  <c:v>47.633365664403492</c:v>
                </c:pt>
                <c:pt idx="21">
                  <c:v>52.743022136669879</c:v>
                </c:pt>
                <c:pt idx="22">
                  <c:v>57.645376549094379</c:v>
                </c:pt>
                <c:pt idx="23">
                  <c:v>62.259887005649723</c:v>
                </c:pt>
                <c:pt idx="24">
                  <c:v>66.610956360259991</c:v>
                </c:pt>
                <c:pt idx="25">
                  <c:v>70.630136986301366</c:v>
                </c:pt>
                <c:pt idx="26">
                  <c:v>74.283154121863802</c:v>
                </c:pt>
                <c:pt idx="27">
                  <c:v>77.638279192273913</c:v>
                </c:pt>
                <c:pt idx="28">
                  <c:v>80.626609442060087</c:v>
                </c:pt>
                <c:pt idx="29">
                  <c:v>83.232830820770531</c:v>
                </c:pt>
                <c:pt idx="30">
                  <c:v>85.542857142857144</c:v>
                </c:pt>
                <c:pt idx="31">
                  <c:v>87.412698412698404</c:v>
                </c:pt>
                <c:pt idx="32">
                  <c:v>88.936825885978436</c:v>
                </c:pt>
                <c:pt idx="33">
                  <c:v>90.134428678117999</c:v>
                </c:pt>
                <c:pt idx="34">
                  <c:v>90.939306358381501</c:v>
                </c:pt>
                <c:pt idx="35">
                  <c:v>91.44553072625699</c:v>
                </c:pt>
                <c:pt idx="36">
                  <c:v>91.555555555555543</c:v>
                </c:pt>
                <c:pt idx="37">
                  <c:v>91.355382619974066</c:v>
                </c:pt>
                <c:pt idx="38">
                  <c:v>90.816708229426453</c:v>
                </c:pt>
                <c:pt idx="39">
                  <c:v>89.970077797725921</c:v>
                </c:pt>
                <c:pt idx="40">
                  <c:v>88.795871559633028</c:v>
                </c:pt>
                <c:pt idx="41">
                  <c:v>87.280701754385973</c:v>
                </c:pt>
                <c:pt idx="42">
                  <c:v>85.507853403141368</c:v>
                </c:pt>
                <c:pt idx="43">
                  <c:v>83.41317365269461</c:v>
                </c:pt>
                <c:pt idx="44">
                  <c:v>80.953962980541064</c:v>
                </c:pt>
                <c:pt idx="45">
                  <c:v>78.007213706041483</c:v>
                </c:pt>
                <c:pt idx="46">
                  <c:v>74.477928692699479</c:v>
                </c:pt>
                <c:pt idx="47">
                  <c:v>70.691848906560637</c:v>
                </c:pt>
                <c:pt idx="48">
                  <c:v>66.593854128100702</c:v>
                </c:pt>
                <c:pt idx="49">
                  <c:v>62.240493319630005</c:v>
                </c:pt>
                <c:pt idx="50">
                  <c:v>57.694488188976379</c:v>
                </c:pt>
                <c:pt idx="51">
                  <c:v>52.983615981603904</c:v>
                </c:pt>
                <c:pt idx="52">
                  <c:v>48.2109375</c:v>
                </c:pt>
                <c:pt idx="53">
                  <c:v>43.42308592835402</c:v>
                </c:pt>
                <c:pt idx="54">
                  <c:v>38.719448506371421</c:v>
                </c:pt>
                <c:pt idx="55">
                  <c:v>34.143094841930115</c:v>
                </c:pt>
                <c:pt idx="56">
                  <c:v>29.753486863444696</c:v>
                </c:pt>
                <c:pt idx="57">
                  <c:v>25.612475303415181</c:v>
                </c:pt>
                <c:pt idx="58">
                  <c:v>21.756394640682093</c:v>
                </c:pt>
                <c:pt idx="59">
                  <c:v>18.213875847678665</c:v>
                </c:pt>
                <c:pt idx="60">
                  <c:v>14.991580253478684</c:v>
                </c:pt>
                <c:pt idx="61">
                  <c:v>12.186632660715624</c:v>
                </c:pt>
                <c:pt idx="62">
                  <c:v>9.9493719559087399</c:v>
                </c:pt>
                <c:pt idx="63">
                  <c:v>8.4385232019871292</c:v>
                </c:pt>
                <c:pt idx="64">
                  <c:v>7.4615699938511986</c:v>
                </c:pt>
                <c:pt idx="65">
                  <c:v>6.8004369300911849</c:v>
                </c:pt>
                <c:pt idx="66">
                  <c:v>6.2534886811677675</c:v>
                </c:pt>
                <c:pt idx="67">
                  <c:v>5.8632385578493356</c:v>
                </c:pt>
                <c:pt idx="68">
                  <c:v>5.5453350854139289</c:v>
                </c:pt>
                <c:pt idx="69">
                  <c:v>5.2824805021875605</c:v>
                </c:pt>
                <c:pt idx="70">
                  <c:v>5.0633281016169658</c:v>
                </c:pt>
                <c:pt idx="71">
                  <c:v>4.8803037227124131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12-44F2-9864-D9674DF10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772927"/>
        <c:axId val="205773407"/>
      </c:scatterChart>
      <c:valAx>
        <c:axId val="20577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773407"/>
        <c:crosses val="autoZero"/>
        <c:crossBetween val="midCat"/>
      </c:valAx>
      <c:valAx>
        <c:axId val="20577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77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464820</xdr:colOff>
      <xdr:row>9</xdr:row>
      <xdr:rowOff>45720</xdr:rowOff>
    </xdr:from>
    <xdr:to>
      <xdr:col>15</xdr:col>
      <xdr:colOff>160020</xdr:colOff>
      <xdr:row>24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0009FF-6253-4AEF-82F6-19ACD4400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102213</xdr:colOff>
      <xdr:row>22</xdr:row>
      <xdr:rowOff>74951</xdr:rowOff>
    </xdr:from>
    <xdr:to>
      <xdr:col>16</xdr:col>
      <xdr:colOff>408326</xdr:colOff>
      <xdr:row>37</xdr:row>
      <xdr:rowOff>74951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0801A9-EFA7-4076-2782-6BF96E154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ED6B-38DF-447A-B27F-4A070C7129BB}">
  <dimension ref="A2:W81"/>
  <sheetViews>
    <sheetView tabSelected="1" topLeftCell="H17" zoomScale="145" workbookViewId="0">
      <selection activeCell="X29" sqref="X29"/>
    </sheetView>
  </sheetViews>
  <sheetFormatPr defaultRowHeight="14.4" x14ac:dyDescent="0.3"/>
  <sheetData>
    <row r="2" spans="1:23" x14ac:dyDescent="0.3">
      <c r="A2">
        <v>0.25</v>
      </c>
      <c r="B2">
        <v>0.28947368000000001</v>
      </c>
      <c r="C2">
        <v>0.32894737000000002</v>
      </c>
      <c r="D2">
        <v>0.36842105000000003</v>
      </c>
      <c r="E2">
        <v>0.40789473999999998</v>
      </c>
      <c r="F2">
        <v>0.44736841999999999</v>
      </c>
      <c r="G2">
        <v>0.48684210999999999</v>
      </c>
      <c r="H2">
        <v>0.52631578999999995</v>
      </c>
      <c r="I2">
        <v>0.56578947000000002</v>
      </c>
      <c r="J2">
        <v>0.60526316000000002</v>
      </c>
      <c r="K2">
        <v>0.64473683999999998</v>
      </c>
      <c r="L2">
        <v>0.68421052999999998</v>
      </c>
      <c r="M2">
        <v>0.72368421000000005</v>
      </c>
      <c r="N2">
        <v>0.76315789000000001</v>
      </c>
      <c r="O2">
        <v>0.80263158000000001</v>
      </c>
      <c r="P2">
        <v>0.84210525999999997</v>
      </c>
      <c r="Q2">
        <v>0.88157894999999997</v>
      </c>
      <c r="R2">
        <v>0.92105263000000004</v>
      </c>
      <c r="S2">
        <v>0.96052632000000004</v>
      </c>
      <c r="T2">
        <v>1</v>
      </c>
    </row>
    <row r="4" spans="1:23" x14ac:dyDescent="0.3">
      <c r="A4">
        <v>0.16500000000000001</v>
      </c>
      <c r="B4">
        <v>0.16263158</v>
      </c>
      <c r="C4">
        <v>0.16026315999999999</v>
      </c>
      <c r="D4">
        <v>0.15789474000000001</v>
      </c>
      <c r="E4">
        <v>0.15552632</v>
      </c>
      <c r="F4">
        <v>0.15315788999999999</v>
      </c>
      <c r="G4">
        <v>0.15078947000000001</v>
      </c>
      <c r="H4">
        <v>0.14842105</v>
      </c>
      <c r="I4">
        <v>0.14605262999999999</v>
      </c>
      <c r="J4">
        <v>0.14368421000000001</v>
      </c>
      <c r="K4">
        <v>0.14131579</v>
      </c>
      <c r="L4">
        <v>0.13894736999999999</v>
      </c>
      <c r="M4">
        <v>0.13657895</v>
      </c>
      <c r="N4">
        <v>0.13421052999999999</v>
      </c>
      <c r="O4">
        <v>0.13184211000000001</v>
      </c>
      <c r="P4">
        <v>0.12947368000000001</v>
      </c>
      <c r="Q4">
        <v>0.12710526</v>
      </c>
      <c r="R4">
        <v>0.12473684</v>
      </c>
      <c r="S4">
        <v>0.12236842000000001</v>
      </c>
      <c r="T4">
        <v>0.12</v>
      </c>
    </row>
    <row r="5" spans="1:23" x14ac:dyDescent="0.3">
      <c r="A5">
        <v>68.5</v>
      </c>
      <c r="B5">
        <v>66.526315789999998</v>
      </c>
      <c r="C5">
        <v>64.552631579999996</v>
      </c>
      <c r="D5">
        <v>62.578947370000002</v>
      </c>
      <c r="E5">
        <v>60.60526316</v>
      </c>
      <c r="F5">
        <v>58.631578949999998</v>
      </c>
      <c r="G5">
        <v>56.657894740000003</v>
      </c>
      <c r="H5">
        <v>54.684210530000001</v>
      </c>
      <c r="I5">
        <v>52.71052632</v>
      </c>
      <c r="J5">
        <v>50.736842109999998</v>
      </c>
      <c r="K5">
        <v>48.763157890000002</v>
      </c>
      <c r="L5">
        <v>46.78947368</v>
      </c>
      <c r="M5">
        <v>44.815789469999999</v>
      </c>
      <c r="N5">
        <v>42.842105259999997</v>
      </c>
      <c r="O5">
        <v>40.868421050000002</v>
      </c>
      <c r="P5">
        <v>38.89473684</v>
      </c>
      <c r="Q5">
        <v>36.921052629999998</v>
      </c>
      <c r="R5">
        <v>34.947368419999997</v>
      </c>
      <c r="S5">
        <v>32.973684210000002</v>
      </c>
      <c r="T5">
        <v>31</v>
      </c>
    </row>
    <row r="9" spans="1:23" x14ac:dyDescent="0.3">
      <c r="S9" t="s">
        <v>3</v>
      </c>
      <c r="T9" t="s">
        <v>4</v>
      </c>
      <c r="U9" t="s">
        <v>5</v>
      </c>
      <c r="V9" t="s">
        <v>6</v>
      </c>
      <c r="W9" t="s">
        <v>9</v>
      </c>
    </row>
    <row r="10" spans="1:23" x14ac:dyDescent="0.3">
      <c r="S10" t="s">
        <v>8</v>
      </c>
      <c r="T10" t="s">
        <v>7</v>
      </c>
      <c r="U10" t="s">
        <v>7</v>
      </c>
    </row>
    <row r="11" spans="1:23" x14ac:dyDescent="0.3">
      <c r="A11" t="s">
        <v>0</v>
      </c>
      <c r="B11" t="s">
        <v>1</v>
      </c>
      <c r="C11" t="s">
        <v>2</v>
      </c>
      <c r="S11">
        <v>-10</v>
      </c>
      <c r="T11">
        <v>-0.58809999999999996</v>
      </c>
      <c r="U11">
        <v>2.2169999999999999E-2</v>
      </c>
      <c r="V11">
        <v>-0.10539999999999999</v>
      </c>
      <c r="W11">
        <f>T11/U11</f>
        <v>-26.526838069463238</v>
      </c>
    </row>
    <row r="12" spans="1:23" x14ac:dyDescent="0.3">
      <c r="A12" cm="1">
        <f t="array" ref="A12:A31">TRANSPOSE(A2:T2)</f>
        <v>0.25</v>
      </c>
      <c r="B12" cm="1">
        <f t="array" ref="B12:B31">TRANSPOSE(A4:T4)</f>
        <v>0.16500000000000001</v>
      </c>
      <c r="C12" cm="1">
        <f t="array" ref="C12:C31">TRANSPOSE(A5:T5)</f>
        <v>68.5</v>
      </c>
      <c r="S12">
        <v>-9.5</v>
      </c>
      <c r="T12">
        <v>-0.53649999999999998</v>
      </c>
      <c r="U12">
        <v>1.8630000000000001E-2</v>
      </c>
      <c r="V12">
        <v>-0.1069</v>
      </c>
      <c r="W12">
        <f t="shared" ref="W12:W75" si="0">T12/U12</f>
        <v>-28.797638217928071</v>
      </c>
    </row>
    <row r="13" spans="1:23" x14ac:dyDescent="0.3">
      <c r="A13">
        <v>0.28947368000000001</v>
      </c>
      <c r="B13">
        <v>0.16263158</v>
      </c>
      <c r="C13">
        <v>66.526315789999998</v>
      </c>
      <c r="S13">
        <v>-9</v>
      </c>
      <c r="T13">
        <v>-0.4819</v>
      </c>
      <c r="U13">
        <v>1.6799999999999999E-2</v>
      </c>
      <c r="V13">
        <v>-0.1076</v>
      </c>
      <c r="W13">
        <f t="shared" si="0"/>
        <v>-28.68452380952381</v>
      </c>
    </row>
    <row r="14" spans="1:23" x14ac:dyDescent="0.3">
      <c r="A14">
        <v>0.32894737000000002</v>
      </c>
      <c r="B14">
        <v>0.16026315999999999</v>
      </c>
      <c r="C14">
        <v>64.552631579999996</v>
      </c>
      <c r="S14">
        <v>-8.5</v>
      </c>
      <c r="T14">
        <v>-0.42630000000000001</v>
      </c>
      <c r="U14">
        <v>1.549E-2</v>
      </c>
      <c r="V14">
        <v>-0.1082</v>
      </c>
      <c r="W14">
        <f t="shared" si="0"/>
        <v>-27.52098127824403</v>
      </c>
    </row>
    <row r="15" spans="1:23" x14ac:dyDescent="0.3">
      <c r="A15">
        <v>0.36842105000000003</v>
      </c>
      <c r="B15">
        <v>0.15789474000000001</v>
      </c>
      <c r="C15">
        <v>62.578947370000002</v>
      </c>
      <c r="S15">
        <v>-8</v>
      </c>
      <c r="T15">
        <v>-0.36990000000000001</v>
      </c>
      <c r="U15">
        <v>1.4460000000000001E-2</v>
      </c>
      <c r="V15">
        <v>-0.1086</v>
      </c>
      <c r="W15">
        <f t="shared" si="0"/>
        <v>-25.580912863070537</v>
      </c>
    </row>
    <row r="16" spans="1:23" x14ac:dyDescent="0.3">
      <c r="A16">
        <v>0.40789473999999998</v>
      </c>
      <c r="B16">
        <v>0.15552632</v>
      </c>
      <c r="C16">
        <v>60.60526316</v>
      </c>
      <c r="S16">
        <v>-7.5</v>
      </c>
      <c r="T16">
        <v>-0.31319999999999998</v>
      </c>
      <c r="U16">
        <v>1.3639999999999999E-2</v>
      </c>
      <c r="V16">
        <v>-0.1089</v>
      </c>
      <c r="W16">
        <f t="shared" si="0"/>
        <v>-22.961876832844574</v>
      </c>
    </row>
    <row r="17" spans="1:23" x14ac:dyDescent="0.3">
      <c r="A17">
        <v>0.44736841999999999</v>
      </c>
      <c r="B17">
        <v>0.15315788999999999</v>
      </c>
      <c r="C17">
        <v>58.631578949999998</v>
      </c>
      <c r="S17">
        <v>-7</v>
      </c>
      <c r="T17">
        <v>-0.25609999999999999</v>
      </c>
      <c r="U17">
        <v>1.295E-2</v>
      </c>
      <c r="V17">
        <v>-0.10920000000000001</v>
      </c>
      <c r="W17">
        <f t="shared" si="0"/>
        <v>-19.776061776061777</v>
      </c>
    </row>
    <row r="18" spans="1:23" x14ac:dyDescent="0.3">
      <c r="A18">
        <v>0.48684210999999999</v>
      </c>
      <c r="B18">
        <v>0.15078947000000001</v>
      </c>
      <c r="C18">
        <v>56.657894740000003</v>
      </c>
      <c r="S18">
        <v>-6.5</v>
      </c>
      <c r="T18">
        <v>-0.19869999999999999</v>
      </c>
      <c r="U18">
        <v>1.239E-2</v>
      </c>
      <c r="V18">
        <v>-0.1095</v>
      </c>
      <c r="W18">
        <f t="shared" si="0"/>
        <v>-16.037126715092814</v>
      </c>
    </row>
    <row r="19" spans="1:23" x14ac:dyDescent="0.3">
      <c r="A19">
        <v>0.52631578999999995</v>
      </c>
      <c r="B19">
        <v>0.14842105</v>
      </c>
      <c r="C19">
        <v>54.684210530000001</v>
      </c>
      <c r="S19">
        <v>-6</v>
      </c>
      <c r="T19">
        <v>-0.14119999999999999</v>
      </c>
      <c r="U19">
        <v>1.192E-2</v>
      </c>
      <c r="V19">
        <v>-0.10970000000000001</v>
      </c>
      <c r="W19">
        <f t="shared" si="0"/>
        <v>-11.845637583892616</v>
      </c>
    </row>
    <row r="20" spans="1:23" x14ac:dyDescent="0.3">
      <c r="A20">
        <v>0.56578947000000002</v>
      </c>
      <c r="B20">
        <v>0.14605262999999999</v>
      </c>
      <c r="C20">
        <v>52.71052632</v>
      </c>
      <c r="S20">
        <v>-5.5</v>
      </c>
      <c r="T20">
        <v>-8.3699999999999997E-2</v>
      </c>
      <c r="U20">
        <v>1.1520000000000001E-2</v>
      </c>
      <c r="V20">
        <v>-0.11</v>
      </c>
      <c r="W20">
        <f t="shared" si="0"/>
        <v>-7.2656249999999991</v>
      </c>
    </row>
    <row r="21" spans="1:23" x14ac:dyDescent="0.3">
      <c r="A21">
        <v>0.60526316000000002</v>
      </c>
      <c r="B21">
        <v>0.14368421000000001</v>
      </c>
      <c r="C21">
        <v>50.736842109999998</v>
      </c>
      <c r="S21">
        <v>-5</v>
      </c>
      <c r="T21">
        <v>-2.5999999999999999E-2</v>
      </c>
      <c r="U21">
        <v>1.119E-2</v>
      </c>
      <c r="V21">
        <v>-0.11020000000000001</v>
      </c>
      <c r="W21">
        <f t="shared" si="0"/>
        <v>-2.3235031277926717</v>
      </c>
    </row>
    <row r="22" spans="1:23" x14ac:dyDescent="0.3">
      <c r="A22">
        <v>0.64473683999999998</v>
      </c>
      <c r="B22">
        <v>0.14131579</v>
      </c>
      <c r="C22">
        <v>48.763157890000002</v>
      </c>
      <c r="S22">
        <v>-4.5</v>
      </c>
      <c r="T22">
        <v>3.1600000000000003E-2</v>
      </c>
      <c r="U22">
        <v>1.093E-2</v>
      </c>
      <c r="V22">
        <v>-0.1104</v>
      </c>
      <c r="W22">
        <f t="shared" si="0"/>
        <v>2.8911253430924062</v>
      </c>
    </row>
    <row r="23" spans="1:23" x14ac:dyDescent="0.3">
      <c r="A23">
        <v>0.68421052999999998</v>
      </c>
      <c r="B23">
        <v>0.13894736999999999</v>
      </c>
      <c r="C23">
        <v>46.78947368</v>
      </c>
      <c r="S23">
        <v>-4</v>
      </c>
      <c r="T23">
        <v>8.9300000000000004E-2</v>
      </c>
      <c r="U23">
        <v>1.0710000000000001E-2</v>
      </c>
      <c r="V23">
        <v>-0.1105</v>
      </c>
      <c r="W23">
        <f t="shared" si="0"/>
        <v>8.3380018674136327</v>
      </c>
    </row>
    <row r="24" spans="1:23" x14ac:dyDescent="0.3">
      <c r="A24">
        <v>0.72368421000000005</v>
      </c>
      <c r="B24">
        <v>0.13657895</v>
      </c>
      <c r="C24">
        <v>44.815789469999999</v>
      </c>
      <c r="S24">
        <v>-3.5</v>
      </c>
      <c r="T24">
        <v>0.1469</v>
      </c>
      <c r="U24">
        <v>1.0540000000000001E-2</v>
      </c>
      <c r="V24">
        <v>-0.11070000000000001</v>
      </c>
      <c r="W24">
        <f t="shared" si="0"/>
        <v>13.937381404174573</v>
      </c>
    </row>
    <row r="25" spans="1:23" x14ac:dyDescent="0.3">
      <c r="A25">
        <v>0.76315789000000001</v>
      </c>
      <c r="B25">
        <v>0.13421052999999999</v>
      </c>
      <c r="C25">
        <v>42.842105259999997</v>
      </c>
      <c r="S25">
        <v>-3</v>
      </c>
      <c r="T25">
        <v>0.20449999999999999</v>
      </c>
      <c r="U25">
        <v>1.0410000000000001E-2</v>
      </c>
      <c r="V25">
        <v>-0.1109</v>
      </c>
      <c r="W25">
        <f t="shared" si="0"/>
        <v>19.644572526416905</v>
      </c>
    </row>
    <row r="26" spans="1:23" x14ac:dyDescent="0.3">
      <c r="A26">
        <v>0.80263158000000001</v>
      </c>
      <c r="B26">
        <v>0.13184211000000001</v>
      </c>
      <c r="C26">
        <v>40.868421050000002</v>
      </c>
      <c r="S26">
        <v>-2.5</v>
      </c>
      <c r="T26">
        <v>0.2621</v>
      </c>
      <c r="U26">
        <v>1.0319999999999999E-2</v>
      </c>
      <c r="V26">
        <v>-0.111</v>
      </c>
      <c r="W26">
        <f t="shared" si="0"/>
        <v>25.397286821705428</v>
      </c>
    </row>
    <row r="27" spans="1:23" x14ac:dyDescent="0.3">
      <c r="A27">
        <v>0.84210525999999997</v>
      </c>
      <c r="B27">
        <v>0.12947368000000001</v>
      </c>
      <c r="C27">
        <v>38.89473684</v>
      </c>
      <c r="S27">
        <v>-2</v>
      </c>
      <c r="T27">
        <v>0.31950000000000001</v>
      </c>
      <c r="U27">
        <v>1.027E-2</v>
      </c>
      <c r="V27">
        <v>-0.1111</v>
      </c>
      <c r="W27">
        <f t="shared" si="0"/>
        <v>31.110029211295036</v>
      </c>
    </row>
    <row r="28" spans="1:23" x14ac:dyDescent="0.3">
      <c r="A28">
        <v>0.88157894999999997</v>
      </c>
      <c r="B28">
        <v>0.12710526</v>
      </c>
      <c r="C28">
        <v>36.921052629999998</v>
      </c>
      <c r="S28">
        <v>-1.5</v>
      </c>
      <c r="T28">
        <v>0.37690000000000001</v>
      </c>
      <c r="U28">
        <v>1.025E-2</v>
      </c>
      <c r="V28">
        <v>-0.11119999999999999</v>
      </c>
      <c r="W28">
        <f t="shared" si="0"/>
        <v>36.770731707317076</v>
      </c>
    </row>
    <row r="29" spans="1:23" x14ac:dyDescent="0.3">
      <c r="A29">
        <v>0.92105263000000004</v>
      </c>
      <c r="B29">
        <v>0.12473684</v>
      </c>
      <c r="C29">
        <v>34.947368419999997</v>
      </c>
      <c r="S29">
        <v>-1</v>
      </c>
      <c r="T29">
        <v>0.43409999999999999</v>
      </c>
      <c r="U29">
        <v>1.027E-2</v>
      </c>
      <c r="V29">
        <v>-0.1114</v>
      </c>
      <c r="W29">
        <f t="shared" si="0"/>
        <v>42.268743914313532</v>
      </c>
    </row>
    <row r="30" spans="1:23" x14ac:dyDescent="0.3">
      <c r="A30">
        <v>0.96052632000000004</v>
      </c>
      <c r="B30">
        <v>0.12236842000000001</v>
      </c>
      <c r="C30">
        <v>32.973684210000002</v>
      </c>
      <c r="S30">
        <v>-0.5</v>
      </c>
      <c r="T30">
        <v>0.49109999999999998</v>
      </c>
      <c r="U30">
        <v>1.031E-2</v>
      </c>
      <c r="V30">
        <v>-0.1114</v>
      </c>
      <c r="W30">
        <f t="shared" si="0"/>
        <v>47.633365664403492</v>
      </c>
    </row>
    <row r="31" spans="1:23" x14ac:dyDescent="0.3">
      <c r="A31">
        <v>1</v>
      </c>
      <c r="B31">
        <v>0.12</v>
      </c>
      <c r="C31">
        <v>31</v>
      </c>
      <c r="S31">
        <v>0</v>
      </c>
      <c r="T31">
        <v>0.54800000000000004</v>
      </c>
      <c r="U31">
        <v>1.039E-2</v>
      </c>
      <c r="V31">
        <v>-0.1115</v>
      </c>
      <c r="W31">
        <f t="shared" si="0"/>
        <v>52.743022136669879</v>
      </c>
    </row>
    <row r="32" spans="1:23" x14ac:dyDescent="0.3">
      <c r="S32">
        <v>0.5</v>
      </c>
      <c r="T32">
        <v>0.60470000000000002</v>
      </c>
      <c r="U32">
        <v>1.0489999999999999E-2</v>
      </c>
      <c r="V32">
        <v>-0.1116</v>
      </c>
      <c r="W32">
        <f t="shared" si="0"/>
        <v>57.645376549094379</v>
      </c>
    </row>
    <row r="33" spans="19:23" x14ac:dyDescent="0.3">
      <c r="S33">
        <v>1</v>
      </c>
      <c r="T33">
        <v>0.66120000000000001</v>
      </c>
      <c r="U33">
        <v>1.0619999999999999E-2</v>
      </c>
      <c r="V33">
        <v>-0.1116</v>
      </c>
      <c r="W33">
        <f t="shared" si="0"/>
        <v>62.259887005649723</v>
      </c>
    </row>
    <row r="34" spans="19:23" x14ac:dyDescent="0.3">
      <c r="S34">
        <v>1.5</v>
      </c>
      <c r="T34">
        <v>0.71740000000000004</v>
      </c>
      <c r="U34">
        <v>1.077E-2</v>
      </c>
      <c r="V34">
        <v>-0.1116</v>
      </c>
      <c r="W34">
        <f t="shared" si="0"/>
        <v>66.610956360259991</v>
      </c>
    </row>
    <row r="35" spans="19:23" x14ac:dyDescent="0.3">
      <c r="S35">
        <v>2</v>
      </c>
      <c r="T35">
        <v>0.77339999999999998</v>
      </c>
      <c r="U35">
        <v>1.095E-2</v>
      </c>
      <c r="V35">
        <v>-0.1116</v>
      </c>
      <c r="W35">
        <f t="shared" si="0"/>
        <v>70.630136986301366</v>
      </c>
    </row>
    <row r="36" spans="19:23" x14ac:dyDescent="0.3">
      <c r="S36">
        <v>2.5</v>
      </c>
      <c r="T36">
        <v>0.82899999999999996</v>
      </c>
      <c r="U36">
        <v>1.116E-2</v>
      </c>
      <c r="V36">
        <v>-0.1115</v>
      </c>
      <c r="W36">
        <f t="shared" si="0"/>
        <v>74.283154121863802</v>
      </c>
    </row>
    <row r="37" spans="19:23" x14ac:dyDescent="0.3">
      <c r="S37">
        <v>3</v>
      </c>
      <c r="T37">
        <v>0.88429999999999997</v>
      </c>
      <c r="U37">
        <v>1.1390000000000001E-2</v>
      </c>
      <c r="V37">
        <v>-0.1114</v>
      </c>
      <c r="W37">
        <f t="shared" si="0"/>
        <v>77.638279192273913</v>
      </c>
    </row>
    <row r="38" spans="19:23" x14ac:dyDescent="0.3">
      <c r="S38">
        <v>3.5</v>
      </c>
      <c r="T38">
        <v>0.93930000000000002</v>
      </c>
      <c r="U38">
        <v>1.1650000000000001E-2</v>
      </c>
      <c r="V38">
        <v>-0.11119999999999999</v>
      </c>
      <c r="W38">
        <f t="shared" si="0"/>
        <v>80.626609442060087</v>
      </c>
    </row>
    <row r="39" spans="19:23" x14ac:dyDescent="0.3">
      <c r="S39">
        <v>4</v>
      </c>
      <c r="T39">
        <v>0.99380000000000002</v>
      </c>
      <c r="U39">
        <v>1.1939999999999999E-2</v>
      </c>
      <c r="V39">
        <v>-0.111</v>
      </c>
      <c r="W39">
        <f t="shared" si="0"/>
        <v>83.232830820770531</v>
      </c>
    </row>
    <row r="40" spans="19:23" x14ac:dyDescent="0.3">
      <c r="S40">
        <v>4.5</v>
      </c>
      <c r="T40">
        <v>1.0479000000000001</v>
      </c>
      <c r="U40">
        <v>1.225E-2</v>
      </c>
      <c r="V40">
        <v>-0.1108</v>
      </c>
      <c r="W40">
        <f t="shared" si="0"/>
        <v>85.542857142857144</v>
      </c>
    </row>
    <row r="41" spans="19:23" x14ac:dyDescent="0.3">
      <c r="S41">
        <v>5</v>
      </c>
      <c r="T41">
        <v>1.1013999999999999</v>
      </c>
      <c r="U41">
        <v>1.26E-2</v>
      </c>
      <c r="V41">
        <v>-0.1104</v>
      </c>
      <c r="W41">
        <f t="shared" si="0"/>
        <v>87.412698412698404</v>
      </c>
    </row>
    <row r="42" spans="19:23" x14ac:dyDescent="0.3">
      <c r="S42">
        <v>5.5</v>
      </c>
      <c r="T42">
        <v>1.1544000000000001</v>
      </c>
      <c r="U42">
        <v>1.298E-2</v>
      </c>
      <c r="V42">
        <v>-0.11</v>
      </c>
      <c r="W42">
        <f t="shared" si="0"/>
        <v>88.936825885978436</v>
      </c>
    </row>
    <row r="43" spans="19:23" x14ac:dyDescent="0.3">
      <c r="S43">
        <v>6</v>
      </c>
      <c r="T43">
        <v>1.2069000000000001</v>
      </c>
      <c r="U43">
        <v>1.3390000000000001E-2</v>
      </c>
      <c r="V43">
        <v>-0.1095</v>
      </c>
      <c r="W43">
        <f t="shared" si="0"/>
        <v>90.134428678117999</v>
      </c>
    </row>
    <row r="44" spans="19:23" x14ac:dyDescent="0.3">
      <c r="S44">
        <v>6.5</v>
      </c>
      <c r="T44">
        <v>1.2585999999999999</v>
      </c>
      <c r="U44">
        <v>1.384E-2</v>
      </c>
      <c r="V44">
        <v>-0.109</v>
      </c>
      <c r="W44">
        <f t="shared" si="0"/>
        <v>90.939306358381501</v>
      </c>
    </row>
    <row r="45" spans="19:23" x14ac:dyDescent="0.3">
      <c r="S45">
        <v>7</v>
      </c>
      <c r="T45">
        <v>1.3095000000000001</v>
      </c>
      <c r="U45">
        <v>1.4319999999999999E-2</v>
      </c>
      <c r="V45">
        <v>-0.10829999999999999</v>
      </c>
      <c r="W45">
        <f t="shared" si="0"/>
        <v>91.44553072625699</v>
      </c>
    </row>
    <row r="46" spans="19:23" x14ac:dyDescent="0.3">
      <c r="S46">
        <v>7.5</v>
      </c>
      <c r="T46">
        <v>1.3595999999999999</v>
      </c>
      <c r="U46">
        <v>1.485E-2</v>
      </c>
      <c r="V46">
        <v>-0.1075</v>
      </c>
      <c r="W46">
        <f t="shared" si="0"/>
        <v>91.555555555555543</v>
      </c>
    </row>
    <row r="47" spans="19:23" x14ac:dyDescent="0.3">
      <c r="S47">
        <v>8</v>
      </c>
      <c r="T47">
        <v>1.4087000000000001</v>
      </c>
      <c r="U47">
        <v>1.542E-2</v>
      </c>
      <c r="V47">
        <v>-0.1065</v>
      </c>
      <c r="W47">
        <f t="shared" si="0"/>
        <v>91.355382619974066</v>
      </c>
    </row>
    <row r="48" spans="19:23" x14ac:dyDescent="0.3">
      <c r="S48">
        <v>8.5</v>
      </c>
      <c r="T48">
        <v>1.4567000000000001</v>
      </c>
      <c r="U48">
        <v>1.6039999999999999E-2</v>
      </c>
      <c r="V48">
        <v>-0.10539999999999999</v>
      </c>
      <c r="W48">
        <f t="shared" si="0"/>
        <v>90.816708229426453</v>
      </c>
    </row>
    <row r="49" spans="19:23" x14ac:dyDescent="0.3">
      <c r="S49">
        <v>9</v>
      </c>
      <c r="T49">
        <v>1.5034000000000001</v>
      </c>
      <c r="U49">
        <v>1.6709999999999999E-2</v>
      </c>
      <c r="V49">
        <v>-0.1041</v>
      </c>
      <c r="W49">
        <f t="shared" si="0"/>
        <v>89.970077797725921</v>
      </c>
    </row>
    <row r="50" spans="19:23" x14ac:dyDescent="0.3">
      <c r="S50">
        <v>9.5</v>
      </c>
      <c r="T50">
        <v>1.5486</v>
      </c>
      <c r="U50">
        <v>1.7440000000000001E-2</v>
      </c>
      <c r="V50">
        <v>-0.1026</v>
      </c>
      <c r="W50">
        <f t="shared" si="0"/>
        <v>88.795871559633028</v>
      </c>
    </row>
    <row r="51" spans="19:23" x14ac:dyDescent="0.3">
      <c r="S51">
        <v>10</v>
      </c>
      <c r="T51">
        <v>1.5920000000000001</v>
      </c>
      <c r="U51">
        <v>1.8239999999999999E-2</v>
      </c>
      <c r="V51">
        <v>-0.1008</v>
      </c>
      <c r="W51">
        <f t="shared" si="0"/>
        <v>87.280701754385973</v>
      </c>
    </row>
    <row r="52" spans="19:23" x14ac:dyDescent="0.3">
      <c r="S52">
        <v>10.5</v>
      </c>
      <c r="T52">
        <v>1.6332</v>
      </c>
      <c r="U52">
        <v>1.9099999999999999E-2</v>
      </c>
      <c r="V52">
        <v>-9.8599999999999993E-2</v>
      </c>
      <c r="W52">
        <f t="shared" si="0"/>
        <v>85.507853403141368</v>
      </c>
    </row>
    <row r="53" spans="19:23" x14ac:dyDescent="0.3">
      <c r="S53">
        <v>11</v>
      </c>
      <c r="T53">
        <v>1.6716</v>
      </c>
      <c r="U53">
        <v>2.0039999999999999E-2</v>
      </c>
      <c r="V53">
        <v>-9.6100000000000005E-2</v>
      </c>
      <c r="W53">
        <f t="shared" si="0"/>
        <v>83.41317365269461</v>
      </c>
    </row>
    <row r="54" spans="19:23" x14ac:dyDescent="0.3">
      <c r="S54">
        <v>11.5</v>
      </c>
      <c r="T54">
        <v>1.7057</v>
      </c>
      <c r="U54">
        <v>2.1069999999999998E-2</v>
      </c>
      <c r="V54">
        <v>-9.2799999999999994E-2</v>
      </c>
      <c r="W54">
        <f t="shared" si="0"/>
        <v>80.953962980541064</v>
      </c>
    </row>
    <row r="55" spans="19:23" x14ac:dyDescent="0.3">
      <c r="S55">
        <v>12</v>
      </c>
      <c r="T55">
        <v>1.7302</v>
      </c>
      <c r="U55">
        <v>2.2179999999999998E-2</v>
      </c>
      <c r="V55">
        <v>-8.77E-2</v>
      </c>
      <c r="W55">
        <f t="shared" si="0"/>
        <v>78.007213706041483</v>
      </c>
    </row>
    <row r="56" spans="19:23" x14ac:dyDescent="0.3">
      <c r="S56">
        <v>12.5</v>
      </c>
      <c r="T56">
        <v>1.7546999999999999</v>
      </c>
      <c r="U56">
        <v>2.3560000000000001E-2</v>
      </c>
      <c r="V56">
        <v>-8.3099999999999993E-2</v>
      </c>
      <c r="W56">
        <f t="shared" si="0"/>
        <v>74.477928692699479</v>
      </c>
    </row>
    <row r="57" spans="19:23" x14ac:dyDescent="0.3">
      <c r="S57">
        <v>13</v>
      </c>
      <c r="T57">
        <v>1.7779</v>
      </c>
      <c r="U57">
        <v>2.5149999999999999E-2</v>
      </c>
      <c r="V57">
        <v>-7.8799999999999995E-2</v>
      </c>
      <c r="W57">
        <f t="shared" si="0"/>
        <v>70.691848906560637</v>
      </c>
    </row>
    <row r="58" spans="19:23" x14ac:dyDescent="0.3">
      <c r="S58">
        <v>13.5</v>
      </c>
      <c r="T58">
        <v>1.7987</v>
      </c>
      <c r="U58">
        <v>2.7009999999999999E-2</v>
      </c>
      <c r="V58">
        <v>-7.4700000000000003E-2</v>
      </c>
      <c r="W58">
        <f t="shared" si="0"/>
        <v>66.593854128100702</v>
      </c>
    </row>
    <row r="59" spans="19:23" x14ac:dyDescent="0.3">
      <c r="S59">
        <v>14</v>
      </c>
      <c r="T59">
        <v>1.8168</v>
      </c>
      <c r="U59">
        <v>2.9190000000000001E-2</v>
      </c>
      <c r="V59">
        <v>-7.0599999999999996E-2</v>
      </c>
      <c r="W59">
        <f t="shared" si="0"/>
        <v>62.240493319630005</v>
      </c>
    </row>
    <row r="60" spans="19:23" x14ac:dyDescent="0.3">
      <c r="S60">
        <v>14.5</v>
      </c>
      <c r="T60">
        <v>1.8318000000000001</v>
      </c>
      <c r="U60">
        <v>3.175E-2</v>
      </c>
      <c r="V60">
        <v>-6.6799999999999998E-2</v>
      </c>
      <c r="W60">
        <f t="shared" si="0"/>
        <v>57.694488188976379</v>
      </c>
    </row>
    <row r="61" spans="19:23" x14ac:dyDescent="0.3">
      <c r="S61">
        <v>15</v>
      </c>
      <c r="T61">
        <v>1.8432999999999999</v>
      </c>
      <c r="U61">
        <v>3.4790000000000001E-2</v>
      </c>
      <c r="V61">
        <v>-6.3299999999999995E-2</v>
      </c>
      <c r="W61">
        <f t="shared" si="0"/>
        <v>52.983615981603904</v>
      </c>
    </row>
    <row r="62" spans="19:23" x14ac:dyDescent="0.3">
      <c r="S62">
        <v>15.5</v>
      </c>
      <c r="T62">
        <v>1.8512999999999999</v>
      </c>
      <c r="U62">
        <v>3.8399999999999997E-2</v>
      </c>
      <c r="V62">
        <v>-6.0199999999999997E-2</v>
      </c>
      <c r="W62">
        <f t="shared" si="0"/>
        <v>48.2109375</v>
      </c>
    </row>
    <row r="63" spans="19:23" x14ac:dyDescent="0.3">
      <c r="S63">
        <v>16</v>
      </c>
      <c r="T63">
        <v>1.8546</v>
      </c>
      <c r="U63">
        <v>4.2709999999999998E-2</v>
      </c>
      <c r="V63">
        <v>-5.7599999999999998E-2</v>
      </c>
      <c r="W63">
        <f t="shared" si="0"/>
        <v>43.42308592835402</v>
      </c>
    </row>
    <row r="64" spans="19:23" x14ac:dyDescent="0.3">
      <c r="S64">
        <v>16.5</v>
      </c>
      <c r="T64">
        <v>1.8534999999999999</v>
      </c>
      <c r="U64">
        <v>4.7870000000000003E-2</v>
      </c>
      <c r="V64">
        <v>-5.5599999999999997E-2</v>
      </c>
      <c r="W64">
        <f t="shared" si="0"/>
        <v>38.719448506371421</v>
      </c>
    </row>
    <row r="65" spans="19:23" x14ac:dyDescent="0.3">
      <c r="S65">
        <v>17</v>
      </c>
      <c r="T65">
        <v>1.8468</v>
      </c>
      <c r="U65">
        <v>5.4089999999999999E-2</v>
      </c>
      <c r="V65">
        <v>-5.4600000000000003E-2</v>
      </c>
      <c r="W65">
        <f t="shared" si="0"/>
        <v>34.143094841930115</v>
      </c>
    </row>
    <row r="66" spans="19:23" x14ac:dyDescent="0.3">
      <c r="S66">
        <v>17.5</v>
      </c>
      <c r="T66">
        <v>1.8346</v>
      </c>
      <c r="U66">
        <v>6.166E-2</v>
      </c>
      <c r="V66">
        <v>-5.4699999999999999E-2</v>
      </c>
      <c r="W66">
        <f t="shared" si="0"/>
        <v>29.753486863444696</v>
      </c>
    </row>
    <row r="67" spans="19:23" x14ac:dyDescent="0.3">
      <c r="S67">
        <v>18</v>
      </c>
      <c r="T67">
        <v>1.8149</v>
      </c>
      <c r="U67">
        <v>7.0860000000000006E-2</v>
      </c>
      <c r="V67">
        <v>-5.6099999999999997E-2</v>
      </c>
      <c r="W67">
        <f t="shared" si="0"/>
        <v>25.612475303415181</v>
      </c>
    </row>
    <row r="68" spans="19:23" x14ac:dyDescent="0.3">
      <c r="S68">
        <v>18.5</v>
      </c>
      <c r="T68">
        <v>1.7862</v>
      </c>
      <c r="U68">
        <v>8.2100000000000006E-2</v>
      </c>
      <c r="V68">
        <v>-5.8999999999999997E-2</v>
      </c>
      <c r="W68">
        <f t="shared" si="0"/>
        <v>21.756394640682093</v>
      </c>
    </row>
    <row r="69" spans="19:23" x14ac:dyDescent="0.3">
      <c r="S69">
        <v>19</v>
      </c>
      <c r="T69">
        <v>1.7458</v>
      </c>
      <c r="U69">
        <v>9.5850000000000005E-2</v>
      </c>
      <c r="V69">
        <v>-6.3600000000000004E-2</v>
      </c>
      <c r="W69">
        <f t="shared" si="0"/>
        <v>18.213875847678665</v>
      </c>
    </row>
    <row r="70" spans="19:23" x14ac:dyDescent="0.3">
      <c r="S70">
        <v>19.5</v>
      </c>
      <c r="T70">
        <v>1.6915</v>
      </c>
      <c r="U70">
        <v>0.11283</v>
      </c>
      <c r="V70">
        <v>-7.0599999999999996E-2</v>
      </c>
      <c r="W70">
        <f t="shared" si="0"/>
        <v>14.991580253478684</v>
      </c>
    </row>
    <row r="71" spans="19:23" x14ac:dyDescent="0.3">
      <c r="S71">
        <v>20</v>
      </c>
      <c r="T71">
        <v>1.6246</v>
      </c>
      <c r="U71">
        <v>0.13331000000000001</v>
      </c>
      <c r="V71">
        <v>-8.0399999999999999E-2</v>
      </c>
      <c r="W71">
        <f t="shared" si="0"/>
        <v>12.186632660715624</v>
      </c>
    </row>
    <row r="72" spans="19:23" x14ac:dyDescent="0.3">
      <c r="S72">
        <v>20.5</v>
      </c>
      <c r="T72">
        <v>1.5525</v>
      </c>
      <c r="U72">
        <v>0.15604000000000001</v>
      </c>
      <c r="V72">
        <v>-9.2799999999999994E-2</v>
      </c>
      <c r="W72">
        <f t="shared" si="0"/>
        <v>9.9493719559087399</v>
      </c>
    </row>
    <row r="73" spans="19:23" x14ac:dyDescent="0.3">
      <c r="S73">
        <v>21</v>
      </c>
      <c r="T73">
        <v>1.4947999999999999</v>
      </c>
      <c r="U73">
        <v>0.17713999999999999</v>
      </c>
      <c r="V73">
        <v>-0.106</v>
      </c>
      <c r="W73">
        <f t="shared" si="0"/>
        <v>8.4385232019871292</v>
      </c>
    </row>
    <row r="74" spans="19:23" x14ac:dyDescent="0.3">
      <c r="S74">
        <v>21.5</v>
      </c>
      <c r="T74">
        <v>1.4561999999999999</v>
      </c>
      <c r="U74">
        <v>0.19516</v>
      </c>
      <c r="V74">
        <v>-0.11799999999999999</v>
      </c>
      <c r="W74">
        <f t="shared" si="0"/>
        <v>7.4615699938511986</v>
      </c>
    </row>
    <row r="75" spans="19:23" x14ac:dyDescent="0.3">
      <c r="S75">
        <v>22</v>
      </c>
      <c r="T75">
        <v>1.4319</v>
      </c>
      <c r="U75">
        <v>0.21056</v>
      </c>
      <c r="V75">
        <v>-0.12870000000000001</v>
      </c>
      <c r="W75">
        <f t="shared" si="0"/>
        <v>6.8004369300911849</v>
      </c>
    </row>
    <row r="76" spans="19:23" x14ac:dyDescent="0.3">
      <c r="S76">
        <v>22.5</v>
      </c>
      <c r="T76">
        <v>1.4116</v>
      </c>
      <c r="U76">
        <v>0.22572999999999999</v>
      </c>
      <c r="V76">
        <v>-0.13969999999999999</v>
      </c>
      <c r="W76">
        <f t="shared" ref="W76:W81" si="1">T76/U76</f>
        <v>6.2534886811677675</v>
      </c>
    </row>
    <row r="77" spans="19:23" x14ac:dyDescent="0.3">
      <c r="S77">
        <v>23</v>
      </c>
      <c r="T77">
        <v>1.4001999999999999</v>
      </c>
      <c r="U77">
        <v>0.23880999999999999</v>
      </c>
      <c r="V77">
        <v>-0.14940000000000001</v>
      </c>
      <c r="W77">
        <f t="shared" si="1"/>
        <v>5.8632385578493356</v>
      </c>
    </row>
    <row r="78" spans="19:23" x14ac:dyDescent="0.3">
      <c r="S78">
        <v>23.5</v>
      </c>
      <c r="T78">
        <v>1.3926000000000001</v>
      </c>
      <c r="U78">
        <v>0.25113000000000002</v>
      </c>
      <c r="V78">
        <v>-0.15870000000000001</v>
      </c>
      <c r="W78">
        <f t="shared" si="1"/>
        <v>5.5453350854139289</v>
      </c>
    </row>
    <row r="79" spans="19:23" x14ac:dyDescent="0.3">
      <c r="S79">
        <v>24</v>
      </c>
      <c r="T79">
        <v>1.3885000000000001</v>
      </c>
      <c r="U79">
        <v>0.26284999999999997</v>
      </c>
      <c r="V79">
        <v>-0.16769999999999999</v>
      </c>
      <c r="W79">
        <f t="shared" si="1"/>
        <v>5.2824805021875605</v>
      </c>
    </row>
    <row r="80" spans="19:23" x14ac:dyDescent="0.3">
      <c r="S80">
        <v>24.5</v>
      </c>
      <c r="T80">
        <v>1.3872</v>
      </c>
      <c r="U80">
        <v>0.27396999999999999</v>
      </c>
      <c r="V80">
        <v>-0.17630000000000001</v>
      </c>
      <c r="W80">
        <f t="shared" si="1"/>
        <v>5.0633281016169658</v>
      </c>
    </row>
    <row r="81" spans="19:23" x14ac:dyDescent="0.3">
      <c r="S81">
        <v>25</v>
      </c>
      <c r="T81">
        <v>1.3883000000000001</v>
      </c>
      <c r="U81">
        <v>0.28447</v>
      </c>
      <c r="V81">
        <v>-0.18459999999999999</v>
      </c>
      <c r="W81">
        <f t="shared" si="1"/>
        <v>4.8803037227124131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Sachinis</dc:creator>
  <cp:lastModifiedBy>Panagiotis Sachinis</cp:lastModifiedBy>
  <dcterms:created xsi:type="dcterms:W3CDTF">2026-03-18T22:26:50Z</dcterms:created>
  <dcterms:modified xsi:type="dcterms:W3CDTF">2026-03-21T17:28:40Z</dcterms:modified>
</cp:coreProperties>
</file>